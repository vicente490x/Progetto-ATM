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27e5838ee4c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i di test" sheetId="1" r:id="Rbc59c17677fc4b5d"/>
    <x:sheet xmlns:r="http://schemas.openxmlformats.org/officeDocument/2006/relationships" name="Istruzioni" sheetId="2" r:id="Re9f579bbc83e46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d/mm/yyyy"/>
  </x:numFmts>
  <x:fonts count="3">
    <x:font>
      <x:sz val="11"/>
      <x:name val="Calibri"/>
    </x:font>
    <x:font>
      <x:b/>
      <x:sz val="16"/>
      <x:color rgb="FFFFFFFF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203A53"/>
      </x:patternFill>
    </x:fill>
    <x:fill>
      <x:patternFill patternType="solid">
        <x:fgColor rgb="FFF2F5F8"/>
      </x:patternFill>
    </x:fill>
    <x:fill>
      <x:patternFill patternType="solid">
        <x:fgColor rgb="FFFFF8DC"/>
      </x:patternFill>
    </x:fill>
  </x:fills>
  <x:borders count="2">
    <x:border/>
    <x:border>
      <x:left style="thin">
        <x:color rgb="FFD8DEE5"/>
      </x:left>
      <x:right style="thin">
        <x:color rgb="FFD8DEE5"/>
      </x:right>
      <x:top style="thin">
        <x:color rgb="FFD8DEE5"/>
      </x:top>
      <x:bottom style="thin">
        <x:color rgb="FFD8DEE5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 applyAlignment="1">
      <x:alignment vertical="center"/>
    </x:xf>
    <x:xf numFmtId="0" fontId="2" fillId="2" borderId="1" xfId="0" applyAlignment="1">
      <x:alignment vertical="center" wrapText="1"/>
    </x:xf>
    <x:xf numFmtId="0" fontId="0" fillId="3" borderId="0" xfId="0" applyAlignment="1">
      <x:alignment vertical="center" wrapText="1"/>
    </x:xf>
    <x:xf numFmtId="0" fontId="0" fillId="0" borderId="1" xfId="0" applyAlignment="1">
      <x:alignment vertical="top" wrapText="1"/>
    </x:xf>
    <x:xf numFmtId="0" fontId="0" fillId="4" borderId="1" xfId="0" applyAlignment="1">
      <x:alignment horizontal="center" vertical="center" wrapText="1"/>
    </x:xf>
    <x:xf numFmtId="14" fontId="0" fillId="4" borderId="1" xfId="0" applyAlignment="1">
      <x:alignment vertical="top"/>
    </x:xf>
    <x:xf numFmtId="0" fontId="0" fillId="4" borderId="1" xfId="0" applyAlignment="1">
      <x:alignment vertical="top" wrapText="1"/>
    </x:xf>
    <x:xf numFmtId="164" fontId="0" fillId="4" borderId="1" xfId="0" applyAlignment="1">
      <x:alignment vertical="top"/>
    </x:xf>
    <x:xf numFmtId="164" fontId="0" fillId="4" borderId="1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164" fontId="0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FFC6EF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EB9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75bd246f742e4" /><Relationship Type="http://schemas.openxmlformats.org/officeDocument/2006/relationships/theme" Target="/xl/theme/theme1.xml" Id="R752a1ddfa56c4ba5" /><Relationship Type="http://schemas.openxmlformats.org/officeDocument/2006/relationships/sharedStrings" Target="/xl/sharedStrings.xml" Id="R140a99231222407e" /><Relationship Type="http://schemas.openxmlformats.org/officeDocument/2006/relationships/worksheet" Target="/xl/worksheets/sheet1.xml" Id="Rbc59c17677fc4b5d" /><Relationship Type="http://schemas.openxmlformats.org/officeDocument/2006/relationships/worksheet" Target="/xl/worksheets/sheet2.xml" Id="Re9f579bbc83e4690" /></Relationships>
</file>

<file path=xl/tables/table1.xml><?xml version="1.0" encoding="utf-8"?>
<x:table xmlns:x="http://schemas.openxmlformats.org/spreadsheetml/2006/main" id="1" name="TabellaTestATM" displayName="TabellaTestATM" ref="A4:J35" headerRowCount="1" totalsRowShown="0">
  <x:autoFilter ref="A4:J33"/>
  <x:tableColumns count="10">
    <x:tableColumn id="1" name="ID"/>
    <x:tableColumn id="2" name="Ambito"/>
    <x:tableColumn id="3" name="Scenario"/>
    <x:tableColumn id="4" name="Dati / condizioni iniziali"/>
    <x:tableColumn id="5" name="Passi da eseguire"/>
    <x:tableColumn id="6" name="Risultato atteso"/>
    <x:tableColumn id="7" name="Risultato ottenuto"/>
    <x:tableColumn id="8" name="Esito"/>
    <x:tableColumn id="9" name="Data prova"/>
    <x:tableColumn id="10" name="Note / evidenz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860f9322b142d4" /></Relationships>
</file>

<file path=xl/worksheets/sheet1.xml><?xml version="1.0" encoding="utf-8"?>
<x:worksheet xmlns:x="http://schemas.openxmlformats.org/spreadsheetml/2006/main">
  <x:sheetViews>
    <x:sheetView workbookViewId="0">
      <x:pane xSplit="3" ySplit="4" topLeftCell="D5" activePane="bottomRight" state="frozen"/>
    </x:sheetView>
  </x:sheetViews>
  <x:sheetFormatPr baseColWidth="8" defaultRowHeight="18"/>
  <x:cols>
    <x:col min="1" max="1" width="12" customWidth="1"/>
    <x:col min="2" max="2" width="19" customWidth="1"/>
    <x:col min="3" max="3" width="27" customWidth="1"/>
    <x:col min="4" max="4" width="43" customWidth="1"/>
    <x:col min="5" max="5" width="47" customWidth="1"/>
    <x:col min="6" max="6" width="60" customWidth="1"/>
    <x:col min="7" max="7" width="40" customWidth="1"/>
    <x:col min="8" max="8" width="18" customWidth="1"/>
    <x:col min="9" max="9" width="15" customWidth="1"/>
    <x:col min="10" max="10" width="35" customWidth="1"/>
  </x:cols>
  <x:sheetData>
    <x:row r="1" ht="29" customHeight="1">
      <x:c r="A1" s="1" t="str">
        <x:v>Progetto ATM Casi di test</x:v>
      </x:c>
    </x:row>
    <x:row r="2" ht="32" customHeight="1">
      <x:c r="A2" s="3" t="str">
        <x:v>Revisione 21/10/2026 senza REST. 18 casi superati nel perimetro indicato; 13 bloccati. Le prove Chromium e SQL non certificano il runtime TIBCO.</x:v>
      </x:c>
    </x:row>
    <x:row r="4" ht="30" customHeight="1">
      <x:c r="A4" s="2" t="inlineStr">
        <x:is>
          <x:t xml:space="preserve">ID</x:t>
        </x:is>
      </x:c>
      <x:c r="B4" s="2" t="inlineStr">
        <x:is>
          <x:t xml:space="preserve">Ambito</x:t>
        </x:is>
      </x:c>
      <x:c r="C4" s="2" t="inlineStr">
        <x:is>
          <x:t xml:space="preserve">Scenario</x:t>
        </x:is>
      </x:c>
      <x:c r="D4" s="2" t="inlineStr">
        <x:is>
          <x:t xml:space="preserve">Dati / condizioni iniziali</x:t>
        </x:is>
      </x:c>
      <x:c r="E4" s="2" t="inlineStr">
        <x:is>
          <x:t xml:space="preserve">Passi da eseguire</x:t>
        </x:is>
      </x:c>
      <x:c r="F4" s="2" t="inlineStr">
        <x:is>
          <x:t xml:space="preserve">Risultato atteso</x:t>
        </x:is>
      </x:c>
      <x:c r="G4" s="2" t="inlineStr">
        <x:is>
          <x:t xml:space="preserve">Risultato ottenuto</x:t>
        </x:is>
      </x:c>
      <x:c r="H4" s="2" t="inlineStr">
        <x:is>
          <x:t xml:space="preserve">Esito</x:t>
        </x:is>
      </x:c>
      <x:c r="I4" s="2" t="inlineStr">
        <x:is>
          <x:t xml:space="preserve">Data prova</x:t>
        </x:is>
      </x:c>
      <x:c r="J4" s="2" t="inlineStr">
        <x:is>
          <x:t xml:space="preserve">Note / evidenze</x:t>
        </x:is>
      </x:c>
    </x:row>
    <x:row r="5" ht="100" customHeight="1">
      <x:c r="A5" s="4" t="str">
        <x:v>TC_01</x:v>
      </x:c>
      <x:c r="B5" s="4" t="str">
        <x:v>Pagina e TIBCO</x:v>
      </x:c>
      <x:c r="C5" s="4" t="str">
        <x:v>Prelievo standard completo</x:v>
      </x:c>
      <x:c r="D5" s="4" t="str">
        <x:v>Cliente valido; saldo 500 €; importo 50 €.</x:v>
      </x:c>
      <x:c r="E5" s="4" t="str">
        <x:v>Inviare dal frontend e attendere elaborazione BW.</x:v>
      </x:c>
      <x:c r="F5" s="4" t="str">
        <x:v>XML da 50 €; saldo 450 €; archivio processed; conferma della pagina.</x:v>
      </x:c>
      <x:c r="G5" s="10" t="str">
        <x:v>Browser: XML corretto. SQL: saldo 450 € e una ESEGUITA. Flusso completo BW non eseguito.</x:v>
      </x:c>
      <x:c r="H5" s="11" t="str">
        <x:v>Bloccato</x:v>
      </x:c>
      <x:c r="I5" s="12" t="n">
        <x:v>46316</x:v>
      </x:c>
      <x:c r="J5" s="10" t="str">
        <x:v>FE01, DB01. Manca runtime TIBCO.</x:v>
      </x:c>
    </x:row>
    <x:row r="6" ht="100" customHeight="1">
      <x:c r="A6" s="4" t="str">
        <x:v>TC_02</x:v>
      </x:c>
      <x:c r="B6" s="4" t="str">
        <x:v>Pagina e XSD</x:v>
      </x:c>
      <x:c r="C6" s="4" t="str">
        <x:v>PIN troppo corto</x:v>
      </x:c>
      <x:c r="D6" s="4" t="str">
        <x:v>PIN 123; importo 50 €.</x:v>
      </x:c>
      <x:c r="E6" s="4" t="str">
        <x:v>Inviare dal modulo e validare XML con PIN corto.</x:v>
      </x:c>
      <x:c r="F6" s="4" t="str">
        <x:v>Rifiuto nel browser senza file; validazione XSD negativa.</x:v>
      </x:c>
      <x:c r="G6" s="10" t="str">
        <x:v>PIN corto respinto nel browser e nello schema XSD; nessun file pubblicato.</x:v>
      </x:c>
      <x:c r="H6" s="11" t="str">
        <x:v>Superato</x:v>
      </x:c>
      <x:c r="I6" s="12" t="n">
        <x:v>46316</x:v>
      </x:c>
      <x:c r="J6" s="10" t="str">
        <x:v>FE02, XSD01.</x:v>
      </x:c>
    </x:row>
    <x:row r="7" ht="100" customHeight="1">
      <x:c r="A7" s="4" t="str">
        <x:v>TC_03</x:v>
      </x:c>
      <x:c r="B7" s="4" t="str">
        <x:v>Pagina e TIBCO</x:v>
      </x:c>
      <x:c r="C7" s="4" t="str">
        <x:v>Importo libero di 80 €</x:v>
      </x:c>
      <x:c r="D7" s="4" t="str">
        <x:v>Cliente valido; saldo 500 €; importo 80 €.</x:v>
      </x:c>
      <x:c r="E7" s="4" t="str">
        <x:v>Inviare Altro importo e attendere BW.</x:v>
      </x:c>
      <x:c r="F7" s="4" t="str">
        <x:v>XML da 80 €; saldo 420 €; archiviazione e conferma.</x:v>
      </x:c>
      <x:c r="G7" s="10" t="str">
        <x:v>Browser: importo 80. SQL: saldo 420 €. Archiviazione con BW non provata.</x:v>
      </x:c>
      <x:c r="H7" s="11" t="str">
        <x:v>Bloccato</x:v>
      </x:c>
      <x:c r="I7" s="12" t="n">
        <x:v>46316</x:v>
      </x:c>
      <x:c r="J7" s="10" t="str">
        <x:v>FE03, DB15. Manca runtime TIBCO.</x:v>
      </x:c>
    </x:row>
    <x:row r="8" ht="100" customHeight="1">
      <x:c r="A8" s="4" t="str">
        <x:v>TC_04</x:v>
      </x:c>
      <x:c r="B8" s="4" t="str">
        <x:v>SQL PostgreSQL</x:v>
      </x:c>
      <x:c r="C8" s="4" t="str">
        <x:v>Saldo insufficiente</x:v>
      </x:c>
      <x:c r="D8" s="4" t="str">
        <x:v>Saldo 500 €; richiesta 600 €.</x:v>
      </x:c>
      <x:c r="E8" s="4" t="str">
        <x:v>Eseguire la query estratta dal BWP su database isolato.</x:v>
      </x:c>
      <x:c r="F8" s="4" t="str">
        <x:v>SALDO_INSUFFICIENTE; saldo invariato; una RIFIUTATA.</x:v>
      </x:c>
      <x:c r="G8" s="10" t="str">
        <x:v>Saldo 500 € invariato; rifiuto registrato per 600 €.</x:v>
      </x:c>
      <x:c r="H8" s="11" t="str">
        <x:v>Superato</x:v>
      </x:c>
      <x:c r="I8" s="12" t="n">
        <x:v>46316</x:v>
      </x:c>
      <x:c r="J8" s="10" t="str">
        <x:v>DB02. PostgreSQL reale; nessuna esecuzione BW.</x:v>
      </x:c>
    </x:row>
    <x:row r="9" ht="100" customHeight="1">
      <x:c r="A9" s="4" t="str">
        <x:v>TC_05</x:v>
      </x:c>
      <x:c r="B9" s="4" t="str">
        <x:v>Pagina e XML</x:v>
      </x:c>
      <x:c r="C9" s="4" t="str">
        <x:v>UUID distinti e conformità XSD</x:v>
      </x:c>
      <x:c r="D9" s="4" t="str">
        <x:v>Due richieste da 50 € nel browser di test.</x:v>
      </x:c>
      <x:c r="E9" s="4" t="str">
        <x:v>Generare due XML, analizzare UUID e validare entrambi con XSD del progetto.</x:v>
      </x:c>
      <x:c r="F9" s="4" t="str">
        <x:v>Nomi UUID diversi; XML UTF-8 conformi, importo e data validi.</x:v>
      </x:c>
      <x:c r="G9" s="10" t="str">
        <x:v>Due UUID distinti; tutti gli XML prodotti conformi allo schema del progetto.</x:v>
      </x:c>
      <x:c r="H9" s="11" t="str">
        <x:v>Superato</x:v>
      </x:c>
      <x:c r="I9" s="12" t="n">
        <x:v>46316</x:v>
      </x:c>
      <x:c r="J9" s="10" t="str">
        <x:v>FE01, FE15. Chromium e OPFS reali; picker sostituito.</x:v>
      </x:c>
    </x:row>
    <x:row r="10" ht="100" customHeight="1">
      <x:c r="A10" s="4" t="str">
        <x:v>TC_06</x:v>
      </x:c>
      <x:c r="B10" s="4" t="str">
        <x:v>Pagina</x:v>
      </x:c>
      <x:c r="C10" s="4" t="str">
        <x:v>Campi anagrafici vuoti</x:v>
      </x:c>
      <x:c r="D10" s="4" t="str">
        <x:v>Nome vuoto, cognome vuoto o soli spazi.</x:v>
      </x:c>
      <x:c r="E10" s="4" t="str">
        <x:v>Provare separatamente le tre varianti dal modulo.</x:v>
      </x:c>
      <x:c r="F10" s="4" t="str">
        <x:v>Messaggio sui dati obbligatori; nessun XML.</x:v>
      </x:c>
      <x:c r="G10" s="10" t="str">
        <x:v>Tutte le varianti respinte; cartella input del browser vuota.</x:v>
      </x:c>
      <x:c r="H10" s="11" t="str">
        <x:v>Superato</x:v>
      </x:c>
      <x:c r="I10" s="12" t="n">
        <x:v>46316</x:v>
      </x:c>
      <x:c r="J10" s="10" t="str">
        <x:v>FE04.</x:v>
      </x:c>
    </x:row>
    <x:row r="11" ht="100" customHeight="1">
      <x:c r="A11" s="4" t="str">
        <x:v>TC_07</x:v>
      </x:c>
      <x:c r="B11" s="4" t="str">
        <x:v>Pagina e XSD</x:v>
      </x:c>
      <x:c r="C11" s="4" t="str">
        <x:v>PIN non numerico o troppo lungo</x:v>
      </x:c>
      <x:c r="D11" s="4" t="str">
        <x:v>PIN 12a45 e 123456.</x:v>
      </x:c>
      <x:c r="E11" s="4" t="str">
        <x:v>Impostare le varianti anche oltre maxlength; inviare e verificare XSD.</x:v>
      </x:c>
      <x:c r="F11" s="4" t="str">
        <x:v>Rifiuto senza XML; lo schema non accetta i valori.</x:v>
      </x:c>
      <x:c r="G11" s="10" t="str">
        <x:v>Entrambe le varianti respinte dal codice della pagina e dallo XSD.</x:v>
      </x:c>
      <x:c r="H11" s="11" t="str">
        <x:v>Superato</x:v>
      </x:c>
      <x:c r="I11" s="12" t="n">
        <x:v>46316</x:v>
      </x:c>
      <x:c r="J11" s="10" t="str">
        <x:v>FE02, XSD01.</x:v>
      </x:c>
    </x:row>
    <x:row r="12" ht="100" customHeight="1">
      <x:c r="A12" s="4" t="str">
        <x:v>TC_08</x:v>
      </x:c>
      <x:c r="B12" s="4" t="str">
        <x:v>SQL PostgreSQL</x:v>
      </x:c>
      <x:c r="C12" s="4" t="str">
        <x:v>Credenziali non riconosciute</x:v>
      </x:c>
      <x:c r="D12" s="4" t="str">
        <x:v>PIN errato, nominativo assente e stringa SQL ostile.</x:v>
      </x:c>
      <x:c r="E12" s="4" t="str">
        <x:v>Eseguire la query parametrizzata con ciascuna variante.</x:v>
      </x:c>
      <x:c r="F12" s="4" t="str">
        <x:v>CLIENTE_NON_VALIDO; saldo e transazioni invariati.</x:v>
      </x:c>
      <x:c r="G12" s="10" t="str">
        <x:v>Tre richieste respinte; nessun addebito e nessuna riga di transazione.</x:v>
      </x:c>
      <x:c r="H12" s="11" t="str">
        <x:v>Superato</x:v>
      </x:c>
      <x:c r="I12" s="12" t="n">
        <x:v>46316</x:v>
      </x:c>
      <x:c r="J12" s="10" t="str">
        <x:v>DB03. Il nuovo frontend non autentica e può pubblicare XML.</x:v>
      </x:c>
    </x:row>
    <x:row r="13" ht="100" customHeight="1">
      <x:c r="A13" s="4" t="str">
        <x:v>TC_09</x:v>
      </x:c>
      <x:c r="B13" s="4" t="str">
        <x:v>Pagina e XML</x:v>
      </x:c>
      <x:c r="C13" s="4" t="str">
        <x:v>PIN con zero iniziale</x:v>
      </x:c>
      <x:c r="D13" s="4" t="str">
        <x:v>Èlia D’Amico-Rossi; PIN 01234.</x:v>
      </x:c>
      <x:c r="E13" s="4" t="str">
        <x:v>Inviare la richiesta e leggere il contenuto XML.</x:v>
      </x:c>
      <x:c r="F13" s="4" t="str">
        <x:v>PIN conservato come stringa 01234.</x:v>
      </x:c>
      <x:c r="G13" s="10" t="str">
        <x:v>XML conserva 01234; nominativo Unicode corretto.</x:v>
      </x:c>
      <x:c r="H13" s="11" t="str">
        <x:v>Superato</x:v>
      </x:c>
      <x:c r="I13" s="12" t="n">
        <x:v>46316</x:v>
      </x:c>
      <x:c r="J13" s="10" t="str">
        <x:v>FE05; anche DB14 riconosce il cliente.</x:v>
      </x:c>
    </x:row>
    <x:row r="14" ht="100" customHeight="1">
      <x:c r="A14" s="4" t="str">
        <x:v>TC_10</x:v>
      </x:c>
      <x:c r="B14" s="4" t="str">
        <x:v>Pagina e XSD</x:v>
      </x:c>
      <x:c r="C14" s="4" t="str">
        <x:v>Importi non validi</x:v>
      </x:c>
      <x:c r="D14" s="4" t="str">
        <x:v>Vuoto, 0, -10, abc, NaN, Infinity, 1e2, 10.001.</x:v>
      </x:c>
      <x:c r="E14" s="4" t="str">
        <x:v>Provare i valori nel campo Altro importo; validare le varianti XML.</x:v>
      </x:c>
      <x:c r="F14" s="4" t="str">
        <x:v>Rifiuto del browser senza file; XSD rifiuta valori non validi.</x:v>
      </x:c>
      <x:c r="G14" s="10" t="str">
        <x:v>Tutti gli input pagina respinti; varianti numeriche XML non valide respinte.</x:v>
      </x:c>
      <x:c r="H14" s="11" t="str">
        <x:v>Superato</x:v>
      </x:c>
      <x:c r="I14" s="12" t="n">
        <x:v>46316</x:v>
      </x:c>
      <x:c r="J14" s="10" t="str">
        <x:v>FE06, XSD01.</x:v>
      </x:c>
    </x:row>
    <x:row r="15" ht="100" customHeight="1">
      <x:c r="A15" s="4" t="str">
        <x:v>TC_11</x:v>
      </x:c>
      <x:c r="B15" s="4" t="str">
        <x:v>Pagina e SQL</x:v>
      </x:c>
      <x:c r="C15" s="4" t="str">
        <x:v>Importi con decimali</x:v>
      </x:c>
      <x:c r="D15" s="4" t="str">
        <x:v>80,50 e 80.50; saldo SQL iniziale 500 €.</x:v>
      </x:c>
      <x:c r="E15" s="4" t="str">
        <x:v>Verificare normalizzazione XML e query da 8050 centesimi separatamente.</x:v>
      </x:c>
      <x:c r="F15" s="4" t="str">
        <x:v>Entrambi i formati producono 80.50; query lascia 41950 centesimi.</x:v>
      </x:c>
      <x:c r="G15" s="10" t="str">
        <x:v>XML 80.50 per entrambi; query reale restituisce OK e saldo 419,50 €.</x:v>
      </x:c>
      <x:c r="H15" s="11" t="str">
        <x:v>Superato</x:v>
      </x:c>
      <x:c r="I15" s="12" t="n">
        <x:v>46316</x:v>
      </x:c>
      <x:c r="J15" s="10" t="str">
        <x:v>FE07, DB16. Componenti provati separatamente; non end-to-end BW.</x:v>
      </x:c>
    </x:row>
    <x:row r="16" ht="100" customHeight="1">
      <x:c r="A16" s="4" t="str">
        <x:v>TC_12</x:v>
      </x:c>
      <x:c r="B16" s="4" t="str">
        <x:v>Pagina e SQL</x:v>
      </x:c>
      <x:c r="C16" s="4" t="str">
        <x:v>Accenti apostrofi e nomi composti</x:v>
      </x:c>
      <x:c r="D16" s="4" t="str">
        <x:v>Èlia D’Amico-Rossi e Anna Maria O’Connor con apostrofo semplice; spazi esterni.</x:v>
      </x:c>
      <x:c r="E16" s="4" t="str">
        <x:v>Inviare i due nominativi; eseguire la query sui corrispondenti clienti.</x:v>
      </x:c>
      <x:c r="F16" s="4" t="str">
        <x:v>Spazi rimossi, Unicode e apostrofo conservati; clienti riconosciuti.</x:v>
      </x:c>
      <x:c r="G16" s="10" t="str">
        <x:v>Entrambe le varianti conservate negli XML e riconosciute da PostgreSQL.</x:v>
      </x:c>
      <x:c r="H16" s="11" t="str">
        <x:v>Superato</x:v>
      </x:c>
      <x:c r="I16" s="12" t="n">
        <x:v>46316</x:v>
      </x:c>
      <x:c r="J16" s="10" t="str">
        <x:v>FE05, DB14. Prove di componente separate.</x:v>
      </x:c>
    </x:row>
    <x:row r="17" ht="100" customHeight="1">
      <x:c r="A17" s="4" t="str">
        <x:v>TC_13</x:v>
      </x:c>
      <x:c r="B17" s="4" t="str">
        <x:v>Pagina e XML</x:v>
      </x:c>
      <x:c r="C17" s="4" t="str">
        <x:v>Escaping dei caratteri riservati</x:v>
      </x:c>
      <x:c r="D17" s="4" t="str">
        <x:v>Nome contenente &amp;, &lt;, &gt;, virgolette e apostrofo.</x:v>
      </x:c>
      <x:c r="E17" s="4" t="str">
        <x:v>Generare XML e rileggere Nome con DOMParser.</x:v>
      </x:c>
      <x:c r="F17" s="4" t="str">
        <x:v>Il parser ricostruisce il testo originale senza XML malformato.</x:v>
      </x:c>
      <x:c r="G17" s="10" t="str">
        <x:v>Roundtrip del testo riuscito nel browser.</x:v>
      </x:c>
      <x:c r="H17" s="11" t="str">
        <x:v>Superato</x:v>
      </x:c>
      <x:c r="I17" s="12" t="n">
        <x:v>46316</x:v>
      </x:c>
      <x:c r="J17" s="10" t="str">
        <x:v>FE08. Non verifica autorizzazione del nominativo.</x:v>
      </x:c>
    </x:row>
    <x:row r="18" ht="100" customHeight="1">
      <x:c r="A18" s="4" t="str">
        <x:v>TC_14</x:v>
      </x:c>
      <x:c r="B18" s="4" t="str">
        <x:v>Filesystem locale</x:v>
      </x:c>
      <x:c r="C18" s="4" t="str">
        <x:v>Cartella non scrivibile</x:v>
      </x:c>
      <x:c r="D18" s="4" t="str">
        <x:v>Cartella OS con permessi negati all’utente browser.</x:v>
      </x:c>
      <x:c r="E18" s="4" t="str">
        <x:v>Negare scrittura nella cartella reale e inviare dal picker.</x:v>
      </x:c>
      <x:c r="F18" s="4" t="str">
        <x:v>Errore visibile; nessun falso successo; conservazione UUID incerto.</x:v>
      </x:c>
      <x:c r="G18" s="10" t="str">
        <x:v>Gestione NotAllowedError provata con errore iniettato. Permessi della cartella OS non verificati.</x:v>
      </x:c>
      <x:c r="H18" s="11" t="str">
        <x:v>Bloccato</x:v>
      </x:c>
      <x:c r="I18" s="12" t="n">
        <x:v>46316</x:v>
      </x:c>
      <x:c r="J18" s="10" t="str">
        <x:v>FE13 copre il ramo di errore. Manca picker/cartella OS.</x:v>
      </x:c>
    </x:row>
    <x:row r="19" ht="100" customHeight="1">
      <x:c r="A19" s="4" t="str">
        <x:v>TC_15</x:v>
      </x:c>
      <x:c r="B19" s="4" t="str">
        <x:v>SQL PostgreSQL</x:v>
      </x:c>
      <x:c r="C19" s="4" t="str">
        <x:v>Importo uguale al saldo</x:v>
      </x:c>
      <x:c r="D19" s="4" t="str">
        <x:v>Saldo 100 €; richieste 100 € e poi 0,01 €.</x:v>
      </x:c>
      <x:c r="E19" s="4" t="str">
        <x:v>Eseguire le due richieste con UUID diversi.</x:v>
      </x:c>
      <x:c r="F19" s="4" t="str">
        <x:v>Prima OK e saldo zero; seconda SALDO_INSUFFICIENTE.</x:v>
      </x:c>
      <x:c r="G19" s="10" t="str">
        <x:v>Sequenza e saldo zero verificati sul database.</x:v>
      </x:c>
      <x:c r="H19" s="11" t="str">
        <x:v>Superato</x:v>
      </x:c>
      <x:c r="I19" s="12" t="n">
        <x:v>46316</x:v>
      </x:c>
      <x:c r="J19" s="10" t="str">
        <x:v>DB06.</x:v>
      </x:c>
    </x:row>
    <x:row r="20" ht="100" customHeight="1">
      <x:c r="A20" s="4" t="str">
        <x:v>TC_16</x:v>
      </x:c>
      <x:c r="B20" s="4" t="str">
        <x:v>SQL PostgreSQL</x:v>
      </x:c>
      <x:c r="C20" s="4" t="str">
        <x:v>Ripetizione di UUID completato</x:v>
      </x:c>
      <x:c r="D20" s="4" t="str">
        <x:v>UUID già ESEGUITA; stessi dati.</x:v>
      </x:c>
      <x:c r="E20" s="4" t="str">
        <x:v>Ripetere la query sulla stessa richiesta.</x:v>
      </x:c>
      <x:c r="F20" s="4" t="str">
        <x:v>GIA_ELABORATA; nessun nuovo addebito o duplicato.</x:v>
      </x:c>
      <x:c r="G20" s="10" t="str">
        <x:v>Replay riconosciuto; saldo e storico invariati.</x:v>
      </x:c>
      <x:c r="H20" s="11" t="str">
        <x:v>Superato</x:v>
      </x:c>
      <x:c r="I20" s="12" t="n">
        <x:v>46316</x:v>
      </x:c>
      <x:c r="J20" s="10" t="str">
        <x:v>DB04. Ripetizione attraverso BW coperta separatamente da TC_25.</x:v>
      </x:c>
    </x:row>
    <x:row r="21" ht="100" customHeight="1">
      <x:c r="A21" s="4" t="str">
        <x:v>TC_17</x:v>
      </x:c>
      <x:c r="B21" s="4" t="str">
        <x:v>SQL PostgreSQL</x:v>
      </x:c>
      <x:c r="C21" s="4" t="str">
        <x:v>UUID riusato con dati diversi</x:v>
      </x:c>
      <x:c r="D21" s="4" t="str">
        <x:v>UUID ESEGUITA; importo diverso e poi cliente diverso.</x:v>
      </x:c>
      <x:c r="E21" s="4" t="str">
        <x:v>Eseguire entrambe le varianti.</x:v>
      </x:c>
      <x:c r="F21" s="4" t="str">
        <x:v>CONFLITTO_ID; saldo e storico invariati.</x:v>
      </x:c>
      <x:c r="G21" s="10" t="str">
        <x:v>Conflitto rilevato in entrambe le varianti; nessuna modifica.</x:v>
      </x:c>
      <x:c r="H21" s="11" t="str">
        <x:v>Superato</x:v>
      </x:c>
      <x:c r="I21" s="12" t="n">
        <x:v>46316</x:v>
      </x:c>
      <x:c r="J21" s="10" t="str">
        <x:v>DB05.</x:v>
      </x:c>
    </x:row>
    <x:row r="22" ht="100" customHeight="1">
      <x:c r="A22" s="4" t="str">
        <x:v>TC_18</x:v>
      </x:c>
      <x:c r="B22" s="4" t="str">
        <x:v>SQL PostgreSQL</x:v>
      </x:c>
      <x:c r="C22" s="4" t="str">
        <x:v>Richieste concorrenti</x:v>
      </x:c>
      <x:c r="D22" s="4" t="str">
        <x:v>Saldo 100 €; due richieste da 80 € su connessioni distinte.</x:v>
      </x:c>
      <x:c r="E22" s="4" t="str">
        <x:v>Avviare due query con una barriera di sincronizzazione.</x:v>
      </x:c>
      <x:c r="F22" s="4" t="str">
        <x:v>Una OK, una SALDO_INSUFFICIENTE; saldo 20 €; nessun saldo negativo.</x:v>
      </x:c>
      <x:c r="G22" s="10" t="str">
        <x:v>Una ESEGUITA da 80 € e una RIFIUTATA; saldo 20 €.</x:v>
      </x:c>
      <x:c r="H22" s="11" t="str">
        <x:v>Superato</x:v>
      </x:c>
      <x:c r="I22" s="12" t="n">
        <x:v>46316</x:v>
      </x:c>
      <x:c r="J22" s="10" t="str">
        <x:v>DB08. DB09 e DB10 verificano inoltre UUID concorrenti.</x:v>
      </x:c>
    </x:row>
    <x:row r="23" ht="100" customHeight="1">
      <x:c r="A23" s="4" t="str">
        <x:v>TC_19</x:v>
      </x:c>
      <x:c r="B23" s="4" t="str">
        <x:v>Pagina</x:v>
      </x:c>
      <x:c r="C23" s="4" t="str">
        <x:v>Ricaricamento dopo la pubblicazione</x:v>
      </x:c>
      <x:c r="D23" s="4" t="str">
        <x:v>Una richiesta pubblicata; UUID in localStorage.</x:v>
      </x:c>
      <x:c r="E23" s="4" t="str">
        <x:v>Ricaricare la pagina e ricollegare lo stesso filesystem OPFS.</x:v>
      </x:c>
      <x:c r="F23" s="4" t="str">
        <x:v>Stesso UUID; nessun nuovo invio; una sola richiesta.</x:v>
      </x:c>
      <x:c r="G23" s="10" t="str">
        <x:v>UUID recuperato; invio bloccato; un solo XML presente.</x:v>
      </x:c>
      <x:c r="H23" s="11" t="str">
        <x:v>Superato</x:v>
      </x:c>
      <x:c r="I23" s="12" t="n">
        <x:v>46316</x:v>
      </x:c>
      <x:c r="J23" s="10" t="str">
        <x:v>FE09. Sostituisce la vecchia perdita di risposta HTTP: REST rimosso.</x:v>
      </x:c>
    </x:row>
    <x:row r="24" ht="100" customHeight="1">
      <x:c r="A24" s="4" t="str">
        <x:v>TC_20</x:v>
      </x:c>
      <x:c r="B24" s="4" t="str">
        <x:v>Pagina</x:v>
      </x:c>
      <x:c r="C24" s="4" t="str">
        <x:v>Scelta importo e doppio invio</x:v>
      </x:c>
      <x:c r="D24" s="4" t="str">
        <x:v>Altro importo 80 €, poi radio 100 €.</x:v>
      </x:c>
      <x:c r="E24" s="4" t="str">
        <x:v>Selezionare 100 € e attivare due volte il pulsante.</x:v>
      </x:c>
      <x:c r="F24" s="4" t="str">
        <x:v>Un solo XML da 100 €; nessun secondo UUID.</x:v>
      </x:c>
      <x:c r="G24" s="10" t="str">
        <x:v>Importo 100 € corretto; un solo file; pulsante bloccato in attesa.</x:v>
      </x:c>
      <x:c r="H24" s="11" t="str">
        <x:v>Superato</x:v>
      </x:c>
      <x:c r="I24" s="12" t="n">
        <x:v>46316</x:v>
      </x:c>
      <x:c r="J24" s="10" t="str">
        <x:v>FE10.</x:v>
      </x:c>
    </x:row>
    <x:row r="25" ht="100" customHeight="1">
      <x:c r="A25" s="4" t="str">
        <x:v>TC_21</x:v>
      </x:c>
      <x:c r="B25" s="4" t="str">
        <x:v>Persistenza e TIBCO</x:v>
      </x:c>
      <x:c r="C25" s="4" t="str">
        <x:v>Riavvio con richiesta pendente</x:v>
      </x:c>
      <x:c r="D25" s="4" t="str">
        <x:v>Richiesta da 80 €; saldo iniziale 100 €.</x:v>
      </x:c>
      <x:c r="E25" s="4" t="str">
        <x:v>Riavviare BW, riprendere lo stesso UUID e provare 50 €.</x:v>
      </x:c>
      <x:c r="F25" s="4" t="str">
        <x:v>Nessun doppio addebito; saldo 20 €; nuova richiesta rifiutata.</x:v>
      </x:c>
      <x:c r="G25" s="10" t="str">
        <x:v>Persistenza e replay tra connessioni SQL verificati; riavvio BW non eseguito.</x:v>
      </x:c>
      <x:c r="H25" s="11" t="str">
        <x:v>Bloccato</x:v>
      </x:c>
      <x:c r="I25" s="12" t="n">
        <x:v>46316</x:v>
      </x:c>
      <x:c r="J25" s="10" t="str">
        <x:v>DB12 copre il database. Manca riavvio del motore BW.</x:v>
      </x:c>
    </x:row>
    <x:row r="26" ht="100" customHeight="1">
      <x:c r="A26" s="4" t="str">
        <x:v>TC_22</x:v>
      </x:c>
      <x:c r="B26" s="4" t="str">
        <x:v>Browser e filesystem</x:v>
      </x:c>
      <x:c r="C26" s="4" t="str">
        <x:v>Interruzione durante la pubblicazione</x:v>
      </x:c>
      <x:c r="D26" s="4" t="str">
        <x:v>Cartella locale isolata; arresto prima e dopo close del file.</x:v>
      </x:c>
      <x:c r="E26" s="4" t="str">
        <x:v>Interrompere il browser durante la scrittura e recuperare l’UUID.</x:v>
      </x:c>
      <x:c r="F26" s="4" t="str">
        <x:v>Nessun falso successo o nuovo UUID per un esito incerto.</x:v>
      </x:c>
      <x:c r="G26" s="10" t="str">
        <x:v>Reload e errore di scrittura coperti; arresto reale durante close non eseguito.</x:v>
      </x:c>
      <x:c r="H26" s="11" t="str">
        <x:v>Bloccato</x:v>
      </x:c>
      <x:c r="I26" s="12" t="n">
        <x:v>46316</x:v>
      </x:c>
      <x:c r="J26" s="10" t="str">
        <x:v>FE09, FE13 parziali. Serve prova di interruzione reale.</x:v>
      </x:c>
    </x:row>
    <x:row r="27" ht="100" customHeight="1">
      <x:c r="A27" s="4" t="str">
        <x:v>TC_23</x:v>
      </x:c>
      <x:c r="B27" s="4" t="str">
        <x:v>TIBCO e PostgreSQL</x:v>
      </x:c>
      <x:c r="C27" s="4" t="str">
        <x:v>Elaborazione completa di file validi</x:v>
      </x:c>
      <x:c r="D27" s="4" t="str">
        <x:v>BusinessWorks e database configurati.</x:v>
      </x:c>
      <x:c r="E27" s="4" t="str">
        <x:v>Inviare dal frontend e controllare database e cartelle.</x:v>
      </x:c>
      <x:c r="F27" s="4" t="str">
        <x:v>Transazione ESEGUITA; file in processed; input svuotata.</x:v>
      </x:c>
      <x:c r="G27" s="10" t="str">
        <x:v>Non eseguito sul motore TIBCO in questa revisione.</x:v>
      </x:c>
      <x:c r="H27" s="11" t="str">
        <x:v>Bloccato</x:v>
      </x:c>
      <x:c r="I27" s="12" t="n">
        <x:v>46316</x:v>
      </x:c>
      <x:c r="J27" s="10" t="str">
        <x:v>Runtime BusinessWorks non disponibile.</x:v>
      </x:c>
    </x:row>
    <x:row r="28" ht="100" customHeight="1">
      <x:c r="A28" s="4" t="str">
        <x:v>TC_24</x:v>
      </x:c>
      <x:c r="B28" s="4" t="str">
        <x:v>TIBCO</x:v>
      </x:c>
      <x:c r="C28" s="4" t="str">
        <x:v>XML non conforme o richiesta rifiutata</x:v>
      </x:c>
      <x:c r="D28" s="4" t="str">
        <x:v>XML senza PIN; cliente sconosciuto; saldo insufficiente.</x:v>
      </x:c>
      <x:c r="E28" s="4" t="str">
        <x:v>Inserire ciascun file e osservare i rami BW.</x:v>
      </x:c>
      <x:c r="F28" s="4" t="str">
        <x:v>Nessun addebito; file in error e motivo coerente nel log.</x:v>
      </x:c>
      <x:c r="G28" s="10" t="str">
        <x:v>XSD e rifiuti SQL provati; archiviazione e log BW non verificati.</x:v>
      </x:c>
      <x:c r="H28" s="11" t="str">
        <x:v>Bloccato</x:v>
      </x:c>
      <x:c r="I28" s="12" t="n">
        <x:v>46316</x:v>
      </x:c>
      <x:c r="J28" s="10" t="str">
        <x:v>XSD01, DB02, DB03 parziali.</x:v>
      </x:c>
    </x:row>
    <x:row r="29" ht="100" customHeight="1">
      <x:c r="A29" s="4" t="str">
        <x:v>TC_25</x:v>
      </x:c>
      <x:c r="B29" s="4" t="str">
        <x:v>TIBCO e PostgreSQL</x:v>
      </x:c>
      <x:c r="C29" s="4" t="str">
        <x:v>File già elaborato letto di nuovo</x:v>
      </x:c>
      <x:c r="D29" s="4" t="str">
        <x:v>UUID ESEGUITA e XML in processed.</x:v>
      </x:c>
      <x:c r="E29" s="4" t="str">
        <x:v>Ricopiare lo stesso file in input con BW attivo.</x:v>
      </x:c>
      <x:c r="F29" s="4" t="str">
        <x:v>Nessun secondo addebito; archiviazione coerente.</x:v>
      </x:c>
      <x:c r="G29" s="10" t="str">
        <x:v>Idempotenza della query verificata; replay del File Poller non eseguito.</x:v>
      </x:c>
      <x:c r="H29" s="11" t="str">
        <x:v>Bloccato</x:v>
      </x:c>
      <x:c r="I29" s="12" t="n">
        <x:v>46316</x:v>
      </x:c>
      <x:c r="J29" s="10" t="str">
        <x:v>DB04 parziale; serve runtime BW.</x:v>
      </x:c>
    </x:row>
    <x:row r="30" ht="100" customHeight="1">
      <x:c r="A30" s="4" t="str">
        <x:v>TC_26</x:v>
      </x:c>
      <x:c r="B30" s="4" t="str">
        <x:v>TIBCO e filesystem</x:v>
      </x:c>
      <x:c r="C30" s="4" t="str">
        <x:v>Errore dopo il commit</x:v>
      </x:c>
      <x:c r="D30" s="4" t="str">
        <x:v>Addebito completato; processed non scrivibile.</x:v>
      </x:c>
      <x:c r="E30" s="4" t="str">
        <x:v>Provocare fallimento Rename File, ripristinare e riprovare UUID.</x:v>
      </x:c>
      <x:c r="F30" s="4" t="str">
        <x:v>Commit conservato; retry archivia senza secondo addebito.</x:v>
      </x:c>
      <x:c r="G30" s="10" t="str">
        <x:v>Replay SQL e rollback atomico verificati separatamente; errore Rename File non provato.</x:v>
      </x:c>
      <x:c r="H30" s="11" t="str">
        <x:v>Bloccato</x:v>
      </x:c>
      <x:c r="I30" s="12" t="n">
        <x:v>46316</x:v>
      </x:c>
      <x:c r="J30" s="10" t="str">
        <x:v>DB04, DB11 parziali; serve runtime BW.</x:v>
      </x:c>
    </x:row>
    <x:row r="31" ht="100" customHeight="1">
      <x:c r="A31" s="4" t="str">
        <x:v>TC_27</x:v>
      </x:c>
      <x:c r="B31" s="4" t="str">
        <x:v>File Poller</x:v>
      </x:c>
      <x:c r="C31" s="4" t="str">
        <x:v>File vuoti modificati e presenti al riavvio</x:v>
      </x:c>
      <x:c r="D31" s="4" t="str">
        <x:v>Filtro *.xml, eventi create e modify, Include Existing Files.</x:v>
      </x:c>
      <x:c r="E31" s="4" t="str">
        <x:v>Creare file vuoto, chiudere scrittura, riavviare con XML pendente.</x:v>
      </x:c>
      <x:c r="F31" s="4" t="str">
        <x:v>File vuoto ignorato; XML completo processato; nessun duplicato.</x:v>
      </x:c>
      <x:c r="G31" s="10" t="str">
        <x:v>Configurazione e transizioni ispezionate; comportamento runtime non eseguito.</x:v>
      </x:c>
      <x:c r="H31" s="11" t="str">
        <x:v>Bloccato</x:v>
      </x:c>
      <x:c r="I31" s="12" t="n">
        <x:v>46316</x:v>
      </x:c>
      <x:c r="J31" s="10" t="str">
        <x:v>Non basta il parsing XML del BWP.</x:v>
      </x:c>
    </x:row>
    <x:row r="32" ht="100" customHeight="1">
      <x:c r="A32" s="4" t="str">
        <x:v>TC_28</x:v>
      </x:c>
      <x:c r="B32" s="4" t="str">
        <x:v>Pagina</x:v>
      </x:c>
      <x:c r="C32" s="4" t="str">
        <x:v>Tastiera e layout a 375 px</x:v>
      </x:c>
      <x:c r="D32" s="4" t="str">
        <x:v>Chromium desktop con viewport 375 × 812.</x:v>
      </x:c>
      <x:c r="E32" s="4" t="str">
        <x:v>Usare Tab da Nome a Cognome e misurare l’overflow della pagina.</x:v>
      </x:c>
      <x:c r="F32" s="4" t="str">
        <x:v>Ordine tastiera coerente e nessun overflow orizzontale.</x:v>
      </x:c>
      <x:c r="G32" s="10" t="str">
        <x:v>Focus passato a Cognome; larghezza contenuto entro viewport.</x:v>
      </x:c>
      <x:c r="H32" s="11" t="str">
        <x:v>Superato</x:v>
      </x:c>
      <x:c r="I32" s="12" t="n">
        <x:v>46316</x:v>
      </x:c>
      <x:c r="J32" s="10" t="str">
        <x:v>FE14. Non certifica picker su smartphone o accessibilità completa.</x:v>
      </x:c>
    </x:row>
    <x:row r="33" ht="100" customHeight="1">
      <x:c r="A33" s="4" t="str">
        <x:v>TC_29</x:v>
      </x:c>
      <x:c r="B33" s="4" t="str">
        <x:v>Filesystem condiviso</x:v>
      </x:c>
      <x:c r="C33" s="4" t="str">
        <x:v>Cartella condivisa fra due computer</x:v>
      </x:c>
      <x:c r="D33" s="4" t="str">
        <x:v>Browser e BW su host diversi; condivisione UNC.</x:v>
      </x:c>
      <x:c r="E33" s="4" t="str">
        <x:v>Configurare permessi e controllare pubblicazione e archiviazione.</x:v>
      </x:c>
      <x:c r="F33" s="4" t="str">
        <x:v>Entrambi vedono la stessa richiesta; nessun doppio addebito.</x:v>
      </x:c>
      <x:c r="G33" s="10" t="str">
        <x:v>Non eseguito: nessuna condivisione UNC o secondo host disponibile.</x:v>
      </x:c>
      <x:c r="H33" s="11" t="str">
        <x:v>Bloccato</x:v>
      </x:c>
      <x:c r="I33" s="12" t="n">
        <x:v>46316</x:v>
      </x:c>
      <x:c r="J33" s="10" t="str">
        <x:v>Richiede ambiente di laboratorio.</x:v>
      </x:c>
    </x:row>
    <x:row r="34" ht="100" customHeight="1">
      <x:c r="A34" s="4" t="str">
        <x:v>TC_30</x:v>
      </x:c>
      <x:c r="B34" s="4" t="str">
        <x:v>TIBCO e PostgreSQL</x:v>
      </x:c>
      <x:c r="C34" s="4" t="str">
        <x:v>Nuovo XML senza prenotazione</x:v>
      </x:c>
      <x:c r="D34" s="4" t="str">
        <x:v>UUID assente; cliente valido; saldo sufficiente.</x:v>
      </x:c>
      <x:c r="E34" s="4" t="str">
        <x:v>Inserire XML valido direttamente in input.</x:v>
      </x:c>
      <x:c r="F34" s="4" t="str">
        <x:v>Il nuovo flusso esegue il prelievo senza prenotazione esterna.</x:v>
      </x:c>
      <x:c r="G34" s="10" t="str">
        <x:v>Query SQL esegue richieste nuove; acquisizione e archivio BW non verificati.</x:v>
      </x:c>
      <x:c r="H34" s="11" t="str">
        <x:v>Bloccato</x:v>
      </x:c>
      <x:c r="I34" s="12" t="n">
        <x:v>46316</x:v>
      </x:c>
      <x:c r="J34" s="10" t="str">
        <x:v>DB01 parziale. Atteso aggiornato rispetto al vecchio flusso REST.</x:v>
      </x:c>
    </x:row>
    <x:row r="35" ht="100" customHeight="1">
      <x:c r="A35" s="4" t="str">
        <x:v>TC_31</x:v>
      </x:c>
      <x:c r="B35" s="4" t="str">
        <x:v>TIBCO e XSD</x:v>
      </x:c>
      <x:c r="C35" s="4" t="str">
        <x:v>XML con PIN mancante</x:v>
      </x:c>
      <x:c r="D35" s="4" t="str">
        <x:v>XML ben formato privo di PIN.</x:v>
      </x:c>
      <x:c r="E35" s="4" t="str">
        <x:v>Inserire in input e controllare validazione, cartelle e saldo.</x:v>
      </x:c>
      <x:c r="F35" s="4" t="str">
        <x:v>Rifiuto XSD; file in error; nessun addebito.</x:v>
      </x:c>
      <x:c r="G35" s="10" t="str">
        <x:v>Rifiuto XSD verificato; spostamento in error e comportamento BW non eseguiti.</x:v>
      </x:c>
      <x:c r="H35" s="11" t="str">
        <x:v>Bloccato</x:v>
      </x:c>
      <x:c r="I35" s="12" t="n">
        <x:v>46316</x:v>
      </x:c>
      <x:c r="J35" s="10" t="str">
        <x:v>XSD01 parziale; serve runtime BW.</x:v>
      </x:c>
    </x:row>
  </x:sheetData>
  <x:mergeCells>
    <x:mergeCell ref="A1:J1"/>
    <x:mergeCell ref="A2:J2"/>
  </x:mergeCells>
  <x:conditionalFormatting sqref="H5:H33">
    <x:cfRule type="cellIs" dxfId="0" priority="1" operator="equal">
      <x:formula>"Superato"</x:formula>
    </x:cfRule>
    <x:cfRule type="cellIs" dxfId="1" priority="2" operator="equal">
      <x:formula>"Non superato"</x:formula>
    </x:cfRule>
    <x:cfRule type="cellIs" dxfId="2" priority="3" operator="equal">
      <x:formula>"Bloccato"</x:formula>
    </x:cfRule>
  </x:conditionalFormatting>
  <x:dataValidations count="1">
    <x:dataValidation type="list" allowBlank="0" showDropDown="0" showInputMessage="0" showErrorMessage="1" errorTitle="Esito non valido" error="Scegli un esito dall’elenco." sqref="H5:H35">
      <x:formula1>"Da eseguire,Superato,Non superato,Bloccato"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860f9322b142d4"/>
  </x:tableParts>
</x:worksheet>
</file>

<file path=xl/worksheets/sheet2.xml><?xml version="1.0" encoding="utf-8"?>
<x:worksheet xmlns:x="http://schemas.openxmlformats.org/spreadsheetml/2006/main">
  <x:sheetFormatPr baseColWidth="8" defaultRowHeight="18"/>
  <x:cols>
    <x:col min="1" max="1" width="27" customWidth="1"/>
    <x:col min="2" max="2" width="110" customWidth="1"/>
  </x:cols>
  <x:sheetData>
    <x:row r="1" ht="30" customHeight="1">
      <x:c r="A1" s="1" t="str">
        <x:v>Progetto ATM Istruzioni e perimetro di collaudo</x:v>
      </x:c>
      <x:c r="B1"/>
    </x:row>
    <x:row r="2" ht="55" customHeight="1">
      <x:c r="A2" s="4" t="str">
        <x:v>Stato della revisione</x:v>
      </x:c>
      <x:c r="B2" s="13" t="str">
        <x:v>31 casi compilati: 18 superati e 13 bloccati. I successi del vecchio flusso REST non sono trasferiti al nuovo branch.</x:v>
      </x:c>
    </x:row>
    <x:row r="3" ht="55" customHeight="1">
      <x:c r="A3" s="4" t="str">
        <x:v>1. Preparazione</x:v>
      </x:c>
      <x:c r="B3" s="13" t="str">
        <x:v>Usare database e cartelle isolati. GitHub Actions crea PostgreSQL temporaneo con clienti di test. Nessun accesso al database personale.</x:v>
      </x:c>
    </x:row>
    <x:row r="4" ht="55" customHeight="1">
      <x:c r="A4" s="4" t="str">
        <x:v>2. Esecuzione</x:v>
      </x:c>
      <x:c r="B4" s="13" t="str">
        <x:v>Seguire il perimetro del caso: pagina, query, XSD o intero flusso BW. Un esito di componente non vale come prova end-to-end.</x:v>
      </x:c>
    </x:row>
    <x:row r="5" ht="55" customHeight="1">
      <x:c r="A5" s="4" t="str">
        <x:v>3. Risultato ottenuto</x:v>
      </x:c>
      <x:c r="B5" s="13" t="str">
        <x:v>I risultati descrivono quanto verificato. Nei casi bloccati sono indicate le prove parziali e ciò che manca.</x:v>
      </x:c>
    </x:row>
    <x:row r="6" ht="55" customHeight="1">
      <x:c r="A6" s="4" t="str">
        <x:v>4. Esito</x:v>
      </x:c>
      <x:c r="B6" s="13" t="str">
        <x:v>Superato: tutte le verifiche del perimetro dichiarato sono riuscite. Bloccato: mancano runtime BW, picker OS, permessi o infrastruttura richiesta.</x:v>
      </x:c>
    </x:row>
    <x:row r="7" ht="55" customHeight="1">
      <x:c r="A7" s="4" t="str">
        <x:v>5. Data e note</x:v>
      </x:c>
      <x:c r="B7" s="13" t="str">
        <x:v>21/10/2026 è la data del collaudo o della valutazione del blocco. FE indica test browser, DB test SQL, XSD validazione schema.</x:v>
      </x:c>
    </x:row>
    <x:row r="8" ht="55" customHeight="1">
      <x:c r="A8" s="4" t="str">
        <x:v>6. Limiti del browser</x:v>
      </x:c>
      <x:c r="B8" s="13" t="str">
        <x:v>Chromium reale e filesystem OPFS reale. Il picker è sostituito e gli archivi di esito sono fixture di test. Il test non esegue TIBCO.</x:v>
      </x:c>
    </x:row>
    <x:row r="9" ht="55" customHeight="1">
      <x:c r="A9" s="4" t="str">
        <x:v>Dati di test</x:v>
      </x:c>
      <x:c r="B9" s="13" t="str">
        <x:v>Mario Rossi, saldo 500 € salvo diversa indicazione. Per concorrenza e saldo esatto: 100 €. Nominativi esclusivamente di test.</x:v>
      </x:c>
    </x:row>
    <x:row r="10" ht="55" customHeight="1">
      <x:c r="A10" s="4" t="str">
        <x:v>Ulteriori nominativi</x:v>
      </x:c>
      <x:c r="B10" s="13" t="str">
        <x:v>Èlia D’Amico-Rossi e Anna Maria O’Connor con apostrofo semplice; PIN con zero iniziale verificato.</x:v>
      </x:c>
    </x:row>
    <x:row r="11" ht="55" customHeight="1">
      <x:c r="A11" s="4" t="str">
        <x:v>Evidenze</x:v>
      </x:c>
      <x:c r="B11" s="13" t="str">
        <x:v>docs/evidenze/database.json e browser.json. Esecuzione: https://github.com/vicente490x/Progetto-ATM/actions/runs/39643799067</x:v>
      </x:c>
    </x:row>
    <x:row r="12" ht="55" customHeight="1">
      <x:c r="A12" s="4" t="str">
        <x:v>Conferma del prelievo</x:v>
      </x:c>
      <x:c r="B12" s="13" t="str">
        <x:v>Il salvataggio XML non conferma l’addebito. La pagina conferma solo quando trova il corrispondente XML in processed.</x:v>
      </x:c>
    </x:row>
    <x:row r="13" ht="55" customHeight="1">
      <x:c r="A13" s="4" t="str">
        <x:v>Saldo e idempotenza</x:v>
      </x:c>
      <x:c r="B13" s="13" t="str">
        <x:v>Un solo PostgreSQL. Query JDBC nel BWP: inserimento e addebito atomici, UUID univoco e lock sul cliente. Nessuna prenotazione nel browser.</x:v>
      </x:c>
    </x:row>
    <x:row r="14" ht="55" customHeight="1">
      <x:c r="A14" s="4" t="str">
        <x:v>Filtri e lettura</x:v>
      </x:c>
      <x:c r="B14" s="13" t="str">
        <x:v>Filtrare Esito per distinguere le prove concluse dai casi da completare. Le note specificano il perimetro e l’evidenza.</x:v>
      </x:c>
    </x:row>
    <x:row r="15" ht="30" customHeight="1">
      <x:c r="A15" s="2" t="str">
        <x:v>Riepilogo degli esiti</x:v>
      </x:c>
      <x:c r="B15" s="2"/>
    </x:row>
    <x:row r="16" ht="30" customHeight="1">
      <x:c r="A16" s="4" t="inlineStr">
        <x:is>
          <x:t xml:space="preserve">Totale casi</x:t>
        </x:is>
      </x:c>
      <x:c r="B16" s="4" t="n">
        <x:f>COUNTA('Casi di test'!A5:A35)</x:f>
        <x:v>31</x:v>
      </x:c>
    </x:row>
    <x:row r="17" ht="30" customHeight="1">
      <x:c r="A17" s="4" t="inlineStr">
        <x:is>
          <x:t xml:space="preserve">Da eseguire</x:t>
        </x:is>
      </x:c>
      <x:c r="B17" s="4" t="n">
        <x:f>COUNTIF('Casi di test'!H5:H35,"Da eseguire")</x:f>
        <x:v>0</x:v>
      </x:c>
    </x:row>
    <x:row r="18" ht="30" customHeight="1">
      <x:c r="A18" s="4" t="inlineStr">
        <x:is>
          <x:t xml:space="preserve">Superato</x:t>
        </x:is>
      </x:c>
      <x:c r="B18" s="4" t="n">
        <x:f>COUNTIF('Casi di test'!H5:H35,"Superato")</x:f>
        <x:v>18</x:v>
      </x:c>
    </x:row>
    <x:row r="19" ht="30" customHeight="1">
      <x:c r="A19" s="4" t="inlineStr">
        <x:is>
          <x:t xml:space="preserve">Non superato</x:t>
        </x:is>
      </x:c>
      <x:c r="B19" s="4" t="n">
        <x:f>COUNTIF('Casi di test'!H5:H35,"Non superato")</x:f>
        <x:v>0</x:v>
      </x:c>
    </x:row>
    <x:row r="20" ht="30" customHeight="1">
      <x:c r="A20" s="4" t="inlineStr">
        <x:is>
          <x:t xml:space="preserve">Bloccato</x:t>
        </x:is>
      </x:c>
      <x:c r="B20" s="4" t="n">
        <x:f>COUNTIF('Casi di test'!H5:H35,"Bloccato")</x:f>
        <x:v>13</x:v>
      </x:c>
    </x:row>
  </x:sheetData>
  <x:mergeCells>
    <x:mergeCell ref="A1:B1"/>
  </x:mergeCells>
  <x:pageMargins left="0.7" right="0.7" top="0.75" bottom="0.75" header="0.3" footer="0.3"/>
</x:worksheet>
</file>